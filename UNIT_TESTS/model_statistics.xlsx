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payton_beeler_pnnl_gov1/Documents/Desktop/multipart_archived-main/multipart/UNIT_TESTS/"/>
    </mc:Choice>
  </mc:AlternateContent>
  <xr:revisionPtr revIDLastSave="33" documentId="8_{DBD72251-ACE3-4E4C-AA33-ABE31830BF4D}" xr6:coauthVersionLast="47" xr6:coauthVersionMax="47" xr10:uidLastSave="{19F9BA5C-2E8E-9F46-A037-E981DBC59E51}"/>
  <bookViews>
    <workbookView xWindow="12400" yWindow="2780" windowWidth="15420" windowHeight="13680" activeTab="1" xr2:uid="{9C2D968C-51CF-7447-B09E-448828E083BC}"/>
  </bookViews>
  <sheets>
    <sheet name="Sheet1" sheetId="1" r:id="rId1"/>
    <sheet name="const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E24" i="2"/>
  <c r="E4" i="2"/>
  <c r="D4" i="2"/>
  <c r="E2" i="2"/>
  <c r="E3" i="2"/>
  <c r="B2" i="2"/>
  <c r="D2" i="2" s="1"/>
  <c r="D3" i="2"/>
  <c r="K10" i="1"/>
  <c r="K9" i="1"/>
</calcChain>
</file>

<file path=xl/sharedStrings.xml><?xml version="1.0" encoding="utf-8"?>
<sst xmlns="http://schemas.openxmlformats.org/spreadsheetml/2006/main" count="3" uniqueCount="3">
  <si>
    <t>Npart</t>
  </si>
  <si>
    <t>time/iteration</t>
  </si>
  <si>
    <t>timestep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</si>
</sst>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806649168853895E-3"/>
                  <c:y val="0.410749125109361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Sheet1!$A$1:$A$26</c:f>
              <c:numCache>
                <c:formatCode>General</c:formatCode>
                <c:ptCount val="2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500</c:v>
                </c:pt>
              </c:numCache>
            </c:numRef>
          </c:xVal>
          <c:yVal>
            <c:numRef>
              <c:f>Sheet1!$B$1:$B$26</c:f>
              <c:numCache>
                <c:formatCode>General</c:formatCode>
                <c:ptCount val="26"/>
                <c:pt idx="0">
                  <c:v>28</c:v>
                </c:pt>
                <c:pt idx="1">
                  <c:v>23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36</c:v>
                </c:pt>
                <c:pt idx="6">
                  <c:v>33</c:v>
                </c:pt>
                <c:pt idx="7">
                  <c:v>31</c:v>
                </c:pt>
                <c:pt idx="8">
                  <c:v>31</c:v>
                </c:pt>
                <c:pt idx="9">
                  <c:v>30</c:v>
                </c:pt>
                <c:pt idx="10">
                  <c:v>56</c:v>
                </c:pt>
                <c:pt idx="11">
                  <c:v>46</c:v>
                </c:pt>
                <c:pt idx="12">
                  <c:v>44</c:v>
                </c:pt>
                <c:pt idx="13">
                  <c:v>45</c:v>
                </c:pt>
                <c:pt idx="14">
                  <c:v>45</c:v>
                </c:pt>
                <c:pt idx="15">
                  <c:v>113</c:v>
                </c:pt>
                <c:pt idx="16">
                  <c:v>95</c:v>
                </c:pt>
                <c:pt idx="17">
                  <c:v>88</c:v>
                </c:pt>
                <c:pt idx="18">
                  <c:v>89</c:v>
                </c:pt>
                <c:pt idx="19">
                  <c:v>88</c:v>
                </c:pt>
                <c:pt idx="20">
                  <c:v>288</c:v>
                </c:pt>
                <c:pt idx="21">
                  <c:v>288</c:v>
                </c:pt>
                <c:pt idx="22">
                  <c:v>286</c:v>
                </c:pt>
                <c:pt idx="23">
                  <c:v>279</c:v>
                </c:pt>
                <c:pt idx="24">
                  <c:v>282</c:v>
                </c:pt>
                <c:pt idx="25">
                  <c:v>1389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2-974E-8188-917326FC9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238736"/>
        <c:axId val="1801240448"/>
      </c:scatterChart>
      <c:valAx>
        <c:axId val="18012387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240448"/>
        <c:crosses val="autoZero"/>
        <c:crossBetween val="midCat"/>
      </c:valAx>
      <c:valAx>
        <c:axId val="18012404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23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42419444444444443"/>
                  <c:y val="4.58796296296296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constance!$A$2:$A$4</c:f>
              <c:numCache>
                <c:formatCode>General</c:formatCode>
                <c:ptCount val="3"/>
                <c:pt idx="0">
                  <c:v>1</c:v>
                </c:pt>
                <c:pt idx="1">
                  <c:v>10</c:v>
                </c:pt>
                <c:pt idx="2">
                  <c:v>100</c:v>
                </c:pt>
              </c:numCache>
            </c:numRef>
          </c:xVal>
          <c:yVal>
            <c:numRef>
              <c:f>constance!$E$2:$E$4</c:f>
              <c:numCache>
                <c:formatCode>General</c:formatCode>
                <c:ptCount val="3"/>
                <c:pt idx="0">
                  <c:v>0.19898148148148145</c:v>
                </c:pt>
                <c:pt idx="1">
                  <c:v>2.0893055555555557</c:v>
                </c:pt>
                <c:pt idx="2">
                  <c:v>23.877777777777776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26-3842-8040-BF6B5B132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582528"/>
        <c:axId val="1866584272"/>
      </c:scatterChart>
      <c:valAx>
        <c:axId val="186658252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584272"/>
        <c:crosses val="autoZero"/>
        <c:crossBetween val="midCat"/>
      </c:valAx>
      <c:valAx>
        <c:axId val="18665842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58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7</xdr:row>
      <xdr:rowOff>57150</xdr:rowOff>
    </xdr:from>
    <xdr:to>
      <xdr:col>8</xdr:col>
      <xdr:colOff>635000</xdr:colOff>
      <xdr:row>20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8DA2B-7DFC-A360-AA45-46BCFD5F4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812800</xdr:colOff>
      <xdr:row>7</xdr:row>
      <xdr:rowOff>44450</xdr:rowOff>
    </xdr:from>
    <xdr:to>
      <xdr:col>8</xdr:col>
      <xdr:colOff>431800</xdr:colOff>
      <xdr:row>20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3C1217-1E05-1163-31B9-402C5063F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D501-BC9F-A747-840B-2E5CE64CD361}">
  <dimension ref="A1:K26"/>
  <sheetViews>
    <sheetView topLeftCell="A5" workbookViewId="0">
      <selection activeCell="F24" sqref="F24"/>
    </sheetView>
  </sheetViews>
  <sheetFormatPr baseColWidth="10" defaultRowHeight="16" x14ac:dyDescent="0.2"/>
  <sheetData>
    <row r="1" spans="1:11" x14ac:dyDescent="0.2">
      <c r="A1">
        <v>5</v>
      </c>
      <c r="B1">
        <v>28</v>
      </c>
    </row>
    <row r="2" spans="1:11" x14ac:dyDescent="0.2">
      <c r="A2">
        <v>5</v>
      </c>
      <c r="B2">
        <v>23</v>
      </c>
    </row>
    <row r="3" spans="1:11" x14ac:dyDescent="0.2">
      <c r="A3">
        <v>5</v>
      </c>
      <c r="B3">
        <v>22</v>
      </c>
    </row>
    <row r="4" spans="1:11" x14ac:dyDescent="0.2">
      <c r="A4">
        <v>5</v>
      </c>
      <c r="B4">
        <v>22</v>
      </c>
    </row>
    <row r="5" spans="1:11" x14ac:dyDescent="0.2">
      <c r="A5">
        <v>5</v>
      </c>
      <c r="B5">
        <v>22</v>
      </c>
    </row>
    <row r="6" spans="1:11" x14ac:dyDescent="0.2">
      <c r="A6">
        <v>10</v>
      </c>
      <c r="B6">
        <v>36</v>
      </c>
    </row>
    <row r="7" spans="1:11" x14ac:dyDescent="0.2">
      <c r="A7">
        <v>10</v>
      </c>
      <c r="B7">
        <v>33</v>
      </c>
    </row>
    <row r="8" spans="1:11" x14ac:dyDescent="0.2">
      <c r="A8">
        <v>10</v>
      </c>
      <c r="B8">
        <v>31</v>
      </c>
    </row>
    <row r="9" spans="1:11" x14ac:dyDescent="0.2">
      <c r="A9">
        <v>10</v>
      </c>
      <c r="B9">
        <v>31</v>
      </c>
      <c r="J9">
        <v>500</v>
      </c>
      <c r="K9">
        <f>24.62*EXP(0.0251*J9)</f>
        <v>6945184.6462924201</v>
      </c>
    </row>
    <row r="10" spans="1:11" x14ac:dyDescent="0.2">
      <c r="A10">
        <v>10</v>
      </c>
      <c r="B10">
        <v>30</v>
      </c>
      <c r="K10">
        <f>2.7086*J9-3.8173</f>
        <v>1350.4827</v>
      </c>
    </row>
    <row r="11" spans="1:11" x14ac:dyDescent="0.2">
      <c r="A11">
        <v>20</v>
      </c>
      <c r="B11">
        <v>56</v>
      </c>
    </row>
    <row r="12" spans="1:11" x14ac:dyDescent="0.2">
      <c r="A12">
        <v>20</v>
      </c>
      <c r="B12">
        <v>46</v>
      </c>
    </row>
    <row r="13" spans="1:11" x14ac:dyDescent="0.2">
      <c r="A13">
        <v>20</v>
      </c>
      <c r="B13">
        <v>44</v>
      </c>
    </row>
    <row r="14" spans="1:11" x14ac:dyDescent="0.2">
      <c r="A14">
        <v>20</v>
      </c>
      <c r="B14">
        <v>45</v>
      </c>
    </row>
    <row r="15" spans="1:11" x14ac:dyDescent="0.2">
      <c r="A15">
        <v>20</v>
      </c>
      <c r="B15">
        <v>45</v>
      </c>
    </row>
    <row r="16" spans="1:11" x14ac:dyDescent="0.2">
      <c r="A16">
        <v>50</v>
      </c>
      <c r="B16">
        <v>113</v>
      </c>
    </row>
    <row r="17" spans="1:2" x14ac:dyDescent="0.2">
      <c r="A17">
        <v>50</v>
      </c>
      <c r="B17">
        <v>95</v>
      </c>
    </row>
    <row r="18" spans="1:2" x14ac:dyDescent="0.2">
      <c r="A18">
        <v>50</v>
      </c>
      <c r="B18">
        <v>88</v>
      </c>
    </row>
    <row r="19" spans="1:2" x14ac:dyDescent="0.2">
      <c r="A19">
        <v>50</v>
      </c>
      <c r="B19">
        <v>89</v>
      </c>
    </row>
    <row r="20" spans="1:2" x14ac:dyDescent="0.2">
      <c r="A20">
        <v>50</v>
      </c>
      <c r="B20">
        <v>88</v>
      </c>
    </row>
    <row r="21" spans="1:2" x14ac:dyDescent="0.2">
      <c r="A21">
        <v>100</v>
      </c>
      <c r="B21">
        <v>288</v>
      </c>
    </row>
    <row r="22" spans="1:2" x14ac:dyDescent="0.2">
      <c r="A22">
        <v>100</v>
      </c>
      <c r="B22">
        <v>288</v>
      </c>
    </row>
    <row r="23" spans="1:2" x14ac:dyDescent="0.2">
      <c r="A23">
        <v>100</v>
      </c>
      <c r="B23">
        <v>286</v>
      </c>
    </row>
    <row r="24" spans="1:2" x14ac:dyDescent="0.2">
      <c r="A24">
        <v>100</v>
      </c>
      <c r="B24">
        <v>279</v>
      </c>
    </row>
    <row r="25" spans="1:2" x14ac:dyDescent="0.2">
      <c r="A25">
        <v>100</v>
      </c>
      <c r="B25">
        <v>282</v>
      </c>
    </row>
    <row r="26" spans="1:2" x14ac:dyDescent="0.2">
      <c r="A26">
        <v>500</v>
      </c>
      <c r="B26">
        <v>1389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CFCA-AAB6-3A4B-846D-AC0A38E238BC}">
  <dimension ref="A1:F24"/>
  <sheetViews>
    <sheetView tabSelected="1" workbookViewId="0">
      <selection activeCell="B16" sqref="B1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>
        <v>1</v>
      </c>
      <c r="B2">
        <f>1/3</f>
        <v>0.33333333333333331</v>
      </c>
      <c r="C2">
        <v>5</v>
      </c>
      <c r="D2">
        <f>B2*2149</f>
        <v>716.33333333333326</v>
      </c>
      <c r="E2">
        <f>D2/3600</f>
        <v>0.19898148148148145</v>
      </c>
    </row>
    <row r="3" spans="1:5" x14ac:dyDescent="0.2">
      <c r="A3">
        <v>10</v>
      </c>
      <c r="B3">
        <v>3.5</v>
      </c>
      <c r="C3">
        <v>5</v>
      </c>
      <c r="D3">
        <f>B3*2149</f>
        <v>7521.5</v>
      </c>
      <c r="E3">
        <f>D3/3600</f>
        <v>2.0893055555555557</v>
      </c>
    </row>
    <row r="4" spans="1:5" x14ac:dyDescent="0.2">
      <c r="A4">
        <v>100</v>
      </c>
      <c r="B4">
        <v>40</v>
      </c>
      <c r="C4">
        <v>5</v>
      </c>
      <c r="D4">
        <f>B4*2149</f>
        <v>85960</v>
      </c>
      <c r="E4">
        <f>D4/3600</f>
        <v>23.877777777777776</v>
      </c>
    </row>
    <row r="24" spans="5:6" x14ac:dyDescent="0.2">
      <c r="E24">
        <f>0.1962*1000^1.0396</f>
        <v>257.928304347996</v>
      </c>
      <c r="F24">
        <f>E24/24</f>
        <v>10.747012681166501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Beeler, Payton A</dc:creator>
  <cp:lastModifiedBy>Beeler, Payton A</cp:lastModifiedBy>
  <dcterms:created xsi:type="dcterms:W3CDTF">2024-11-01T14:42:08Z</dcterms:created>
  <dcterms:modified xsi:type="dcterms:W3CDTF">2024-12-13T16:02:32Z</dcterms:modified>
</cp:coreProperties>
</file>