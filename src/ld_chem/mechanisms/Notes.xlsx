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payton_beeler_pnnl_gov1/Documents/Desktop/codes/multipart_archived/mechanisms/"/>
    </mc:Choice>
  </mc:AlternateContent>
  <xr:revisionPtr revIDLastSave="22" documentId="8_{8EDA6003-FCE5-C74B-AE81-2C3BBDA9CF91}" xr6:coauthVersionLast="47" xr6:coauthVersionMax="47" xr10:uidLastSave="{99E08A7F-A744-B84E-919A-70C7773BA232}"/>
  <bookViews>
    <workbookView xWindow="8240" yWindow="760" windowWidth="21960" windowHeight="17180" activeTab="1" xr2:uid="{7D39B254-FCF9-2947-A2E0-F1954364D3DB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0" i="1"/>
  <c r="C11" i="1"/>
  <c r="C12" i="1"/>
  <c r="C13" i="1"/>
  <c r="C9" i="1"/>
</calcChain>
</file>

<file path=xl/sharedStrings.xml><?xml version="1.0" encoding="utf-8"?>
<sst xmlns="http://schemas.openxmlformats.org/spreadsheetml/2006/main" count="246" uniqueCount="86">
  <si>
    <t>Org</t>
  </si>
  <si>
    <t>Sulfate</t>
  </si>
  <si>
    <t>Ammonium</t>
  </si>
  <si>
    <t>Nitrate</t>
  </si>
  <si>
    <t>Chloride</t>
  </si>
  <si>
    <t>k0</t>
  </si>
  <si>
    <t>T</t>
  </si>
  <si>
    <t>form</t>
  </si>
  <si>
    <t>exp</t>
  </si>
  <si>
    <t>power</t>
  </si>
  <si>
    <t>O1D,O2</t>
  </si>
  <si>
    <t>O3P,O2</t>
  </si>
  <si>
    <t>O1D,H2O</t>
  </si>
  <si>
    <t>OH,OH</t>
  </si>
  <si>
    <t>O3,OH</t>
  </si>
  <si>
    <t>HO2,O2</t>
  </si>
  <si>
    <t>O3,HO2</t>
  </si>
  <si>
    <t>OH,O2,O2</t>
  </si>
  <si>
    <t>NO,OH,M</t>
  </si>
  <si>
    <t>HONO,M</t>
  </si>
  <si>
    <t>O3,NO</t>
  </si>
  <si>
    <t>NO2,O2</t>
  </si>
  <si>
    <t>NO,NO3</t>
  </si>
  <si>
    <t>NO2,NO2</t>
  </si>
  <si>
    <t>NO2,NO3,M</t>
  </si>
  <si>
    <t>N2O5,M</t>
  </si>
  <si>
    <t>NO2,OH,M</t>
  </si>
  <si>
    <t>HNO3,M</t>
  </si>
  <si>
    <t>NO2,HO2,M</t>
  </si>
  <si>
    <t>HNO4,M</t>
  </si>
  <si>
    <t>CO,OH</t>
  </si>
  <si>
    <t>CO2,HO2</t>
  </si>
  <si>
    <t>HO2,HO2</t>
  </si>
  <si>
    <t>H2O2,O2</t>
  </si>
  <si>
    <t>H2O2,OH</t>
  </si>
  <si>
    <t>HO2,H2O</t>
  </si>
  <si>
    <t>HO2,NO</t>
  </si>
  <si>
    <t>NO2,OH</t>
  </si>
  <si>
    <t>HO2,OH</t>
  </si>
  <si>
    <t>H2O,O2</t>
  </si>
  <si>
    <t>SO2,OH</t>
  </si>
  <si>
    <t>SO3,HO2</t>
  </si>
  <si>
    <t>ISOPOO</t>
  </si>
  <si>
    <t>O1D,N2</t>
  </si>
  <si>
    <t>O3P,N2</t>
  </si>
  <si>
    <t>O3,NO2</t>
  </si>
  <si>
    <t>O3P,O2,M</t>
  </si>
  <si>
    <t>O3,M</t>
  </si>
  <si>
    <t>NO3,O2</t>
  </si>
  <si>
    <t>reactants</t>
  </si>
  <si>
    <t>products</t>
  </si>
  <si>
    <t>ISOPOOH,OH</t>
  </si>
  <si>
    <t>IEPOX,OH</t>
  </si>
  <si>
    <t>ISOPOO,HO2</t>
  </si>
  <si>
    <t>ISOPOOH,O2</t>
  </si>
  <si>
    <t>ISOP,OH,O2</t>
  </si>
  <si>
    <t>(BATES, Gas Phase Production and Loss of Isoprene Epoxydiols)</t>
  </si>
  <si>
    <t>IUPAC</t>
  </si>
  <si>
    <t>gamma</t>
  </si>
  <si>
    <t>HO2,HO2,M</t>
  </si>
  <si>
    <t>rate_(mol/m3^(1-n)/s)</t>
  </si>
  <si>
    <t>high_P_limit</t>
  </si>
  <si>
    <t>T_dependence_(K)</t>
  </si>
  <si>
    <t>H2O2</t>
  </si>
  <si>
    <t>O3</t>
  </si>
  <si>
    <t>NO2</t>
  </si>
  <si>
    <t>NO,O3P</t>
  </si>
  <si>
    <t>NO3</t>
  </si>
  <si>
    <t>NO2,O3P</t>
  </si>
  <si>
    <t>NO,O2</t>
  </si>
  <si>
    <t>HNO3</t>
  </si>
  <si>
    <t>HONO</t>
  </si>
  <si>
    <t>NO,OH</t>
  </si>
  <si>
    <t>N2O5</t>
  </si>
  <si>
    <t>NO2,NO3</t>
  </si>
  <si>
    <t>HO2_water_enhancement</t>
  </si>
  <si>
    <t>SO3,H2O,H2O</t>
  </si>
  <si>
    <t>H2SO4,H2O</t>
  </si>
  <si>
    <t>source</t>
  </si>
  <si>
    <t>GAMMA</t>
  </si>
  <si>
    <t>troe</t>
  </si>
  <si>
    <t>HOSO2</t>
  </si>
  <si>
    <t>HOSO2,O2</t>
  </si>
  <si>
    <t>HO2,SO3</t>
  </si>
  <si>
    <t>IUPAC SOx15</t>
  </si>
  <si>
    <t>IUPAC SOx16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</si>
</sst>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45A-D009-084D-921D-EF27D64DFE5A}">
  <dimension ref="A1:O29"/>
  <sheetViews>
    <sheetView workbookViewId="0">
      <selection activeCell="N24" sqref="N24:O25"/>
    </sheetView>
  </sheetViews>
  <sheetFormatPr baseColWidth="10" defaultRowHeight="16" x14ac:dyDescent="0.2"/>
  <sheetData>
    <row r="1" spans="1:13" x14ac:dyDescent="0.2">
      <c r="A1" s="1">
        <v>42485</v>
      </c>
      <c r="B1" t="s">
        <v>0</v>
      </c>
      <c r="C1">
        <v>4.0071770334928098</v>
      </c>
      <c r="I1" t="s">
        <v>49</v>
      </c>
      <c r="J1" t="s">
        <v>50</v>
      </c>
      <c r="K1" t="s">
        <v>5</v>
      </c>
      <c r="L1" t="s">
        <v>6</v>
      </c>
      <c r="M1" t="s">
        <v>7</v>
      </c>
    </row>
    <row r="2" spans="1:13" x14ac:dyDescent="0.2">
      <c r="A2" s="1">
        <v>42485</v>
      </c>
      <c r="B2" t="s">
        <v>1</v>
      </c>
      <c r="C2">
        <v>1.6447368421052599</v>
      </c>
      <c r="H2" s="2"/>
      <c r="I2" t="s">
        <v>43</v>
      </c>
      <c r="J2" t="s">
        <v>44</v>
      </c>
      <c r="K2" s="2">
        <v>1.7999999999999999E-11</v>
      </c>
      <c r="L2">
        <v>100</v>
      </c>
      <c r="M2" t="s">
        <v>8</v>
      </c>
    </row>
    <row r="3" spans="1:13" x14ac:dyDescent="0.2">
      <c r="A3" s="1">
        <v>42485</v>
      </c>
      <c r="B3" t="s">
        <v>2</v>
      </c>
      <c r="C3">
        <v>0.77751196172248105</v>
      </c>
      <c r="I3" t="s">
        <v>10</v>
      </c>
      <c r="J3" t="s">
        <v>11</v>
      </c>
      <c r="K3" s="2">
        <v>3.1999999999999999E-11</v>
      </c>
      <c r="L3">
        <v>70</v>
      </c>
      <c r="M3" t="s">
        <v>8</v>
      </c>
    </row>
    <row r="4" spans="1:13" x14ac:dyDescent="0.2">
      <c r="A4" s="1">
        <v>42485</v>
      </c>
      <c r="B4" t="s">
        <v>3</v>
      </c>
      <c r="C4">
        <v>0.32894736842105399</v>
      </c>
      <c r="I4" t="s">
        <v>46</v>
      </c>
      <c r="J4" t="s">
        <v>47</v>
      </c>
      <c r="K4" s="2">
        <v>6E-34</v>
      </c>
      <c r="L4">
        <v>-2.2999999999999998</v>
      </c>
      <c r="M4" t="s">
        <v>9</v>
      </c>
    </row>
    <row r="5" spans="1:13" x14ac:dyDescent="0.2">
      <c r="A5" s="1">
        <v>42485</v>
      </c>
      <c r="B5" t="s">
        <v>4</v>
      </c>
      <c r="C5">
        <v>2.9904306220096499E-2</v>
      </c>
      <c r="I5" t="s">
        <v>12</v>
      </c>
      <c r="J5" t="s">
        <v>13</v>
      </c>
      <c r="K5" s="2">
        <v>2.1999999999999999E-20</v>
      </c>
      <c r="L5">
        <v>0</v>
      </c>
      <c r="M5" t="s">
        <v>8</v>
      </c>
    </row>
    <row r="6" spans="1:13" x14ac:dyDescent="0.2">
      <c r="I6" t="s">
        <v>14</v>
      </c>
      <c r="J6" t="s">
        <v>15</v>
      </c>
      <c r="K6" s="2">
        <v>1.6E-12</v>
      </c>
      <c r="L6">
        <v>-940</v>
      </c>
      <c r="M6" t="s">
        <v>8</v>
      </c>
    </row>
    <row r="7" spans="1:13" x14ac:dyDescent="0.2">
      <c r="I7" t="s">
        <v>16</v>
      </c>
      <c r="J7" t="s">
        <v>17</v>
      </c>
      <c r="K7" s="2">
        <v>1.1E-14</v>
      </c>
      <c r="L7">
        <v>-500</v>
      </c>
      <c r="M7" t="s">
        <v>8</v>
      </c>
    </row>
    <row r="8" spans="1:13" x14ac:dyDescent="0.2">
      <c r="I8" t="s">
        <v>18</v>
      </c>
      <c r="J8" t="s">
        <v>19</v>
      </c>
      <c r="K8" s="2">
        <v>7.5999999999999999E-12</v>
      </c>
      <c r="L8">
        <v>0</v>
      </c>
      <c r="M8" t="s">
        <v>8</v>
      </c>
    </row>
    <row r="9" spans="1:13" x14ac:dyDescent="0.2">
      <c r="B9" t="s">
        <v>0</v>
      </c>
      <c r="C9">
        <f>C1/SUM(C$1:C$5)</f>
        <v>0.59030837004405279</v>
      </c>
      <c r="I9" t="s">
        <v>20</v>
      </c>
      <c r="J9" t="s">
        <v>21</v>
      </c>
      <c r="K9" s="2">
        <v>2E-12</v>
      </c>
      <c r="L9">
        <v>-1400</v>
      </c>
      <c r="M9" t="s">
        <v>8</v>
      </c>
    </row>
    <row r="10" spans="1:13" x14ac:dyDescent="0.2">
      <c r="B10" t="s">
        <v>1</v>
      </c>
      <c r="C10">
        <f>C2/SUM(C$1:C$5)</f>
        <v>0.24229074889867869</v>
      </c>
      <c r="I10" t="s">
        <v>45</v>
      </c>
      <c r="J10" t="s">
        <v>48</v>
      </c>
      <c r="K10" s="2">
        <v>1.1999999999999999E-13</v>
      </c>
      <c r="L10">
        <v>-2450</v>
      </c>
      <c r="M10" t="s">
        <v>8</v>
      </c>
    </row>
    <row r="11" spans="1:13" x14ac:dyDescent="0.2">
      <c r="B11" t="s">
        <v>2</v>
      </c>
      <c r="C11">
        <f>C3/SUM(C$1:C$5)</f>
        <v>0.11453744493392003</v>
      </c>
      <c r="I11" t="s">
        <v>22</v>
      </c>
      <c r="J11" t="s">
        <v>23</v>
      </c>
      <c r="K11" s="2">
        <v>1.5E-11</v>
      </c>
      <c r="L11">
        <v>170</v>
      </c>
      <c r="M11" t="s">
        <v>8</v>
      </c>
    </row>
    <row r="12" spans="1:13" x14ac:dyDescent="0.2">
      <c r="B12" t="s">
        <v>3</v>
      </c>
      <c r="C12">
        <f>C4/SUM(C$1:C$5)</f>
        <v>4.8458149779736032E-2</v>
      </c>
      <c r="I12" t="s">
        <v>24</v>
      </c>
      <c r="J12" t="s">
        <v>25</v>
      </c>
      <c r="K12" s="2">
        <v>1.2999999999999999E-12</v>
      </c>
      <c r="L12">
        <v>0</v>
      </c>
      <c r="M12" t="s">
        <v>8</v>
      </c>
    </row>
    <row r="13" spans="1:13" x14ac:dyDescent="0.2">
      <c r="B13" t="s">
        <v>4</v>
      </c>
      <c r="C13">
        <f>C5/SUM(C$1:C$5)</f>
        <v>4.405286343612467E-3</v>
      </c>
      <c r="I13" t="s">
        <v>25</v>
      </c>
      <c r="J13" t="s">
        <v>24</v>
      </c>
      <c r="K13" s="2">
        <v>6.8000000000000005E-2</v>
      </c>
      <c r="L13">
        <v>-11080</v>
      </c>
      <c r="M13" t="s">
        <v>8</v>
      </c>
    </row>
    <row r="14" spans="1:13" x14ac:dyDescent="0.2">
      <c r="I14" t="s">
        <v>26</v>
      </c>
      <c r="J14" t="s">
        <v>27</v>
      </c>
      <c r="K14" s="2">
        <v>9.6999999999999995E-12</v>
      </c>
      <c r="L14">
        <v>0</v>
      </c>
      <c r="M14" t="s">
        <v>8</v>
      </c>
    </row>
    <row r="15" spans="1:13" x14ac:dyDescent="0.2">
      <c r="I15" t="s">
        <v>28</v>
      </c>
      <c r="J15" t="s">
        <v>29</v>
      </c>
      <c r="K15" s="2">
        <v>1.5000000000000001E-12</v>
      </c>
      <c r="L15">
        <v>0</v>
      </c>
      <c r="M15" t="s">
        <v>8</v>
      </c>
    </row>
    <row r="16" spans="1:13" x14ac:dyDescent="0.2">
      <c r="I16" t="s">
        <v>29</v>
      </c>
      <c r="J16" t="s">
        <v>28</v>
      </c>
      <c r="K16" s="2">
        <v>7.6999999999999999E-12</v>
      </c>
      <c r="L16">
        <v>-10420</v>
      </c>
      <c r="M16" t="s">
        <v>8</v>
      </c>
    </row>
    <row r="17" spans="3:15" x14ac:dyDescent="0.2">
      <c r="I17" t="s">
        <v>30</v>
      </c>
      <c r="J17" t="s">
        <v>31</v>
      </c>
      <c r="K17" s="2">
        <v>1.4999999999999999E-13</v>
      </c>
      <c r="L17">
        <v>0</v>
      </c>
      <c r="M17" t="s">
        <v>8</v>
      </c>
    </row>
    <row r="18" spans="3:15" x14ac:dyDescent="0.2">
      <c r="I18" t="s">
        <v>32</v>
      </c>
      <c r="J18" t="s">
        <v>33</v>
      </c>
      <c r="K18" s="2">
        <v>2.2999999999999998E-13</v>
      </c>
      <c r="L18">
        <v>600</v>
      </c>
      <c r="M18" t="s">
        <v>8</v>
      </c>
    </row>
    <row r="19" spans="3:15" x14ac:dyDescent="0.2">
      <c r="I19" t="s">
        <v>59</v>
      </c>
    </row>
    <row r="20" spans="3:15" x14ac:dyDescent="0.2">
      <c r="I20" t="s">
        <v>34</v>
      </c>
      <c r="J20" t="s">
        <v>35</v>
      </c>
      <c r="K20" s="2">
        <v>2.9000000000000002E-12</v>
      </c>
      <c r="L20">
        <v>-160</v>
      </c>
      <c r="M20" t="s">
        <v>8</v>
      </c>
    </row>
    <row r="21" spans="3:15" x14ac:dyDescent="0.2">
      <c r="I21" t="s">
        <v>36</v>
      </c>
      <c r="J21" t="s">
        <v>37</v>
      </c>
      <c r="K21" s="2">
        <v>3.5E-12</v>
      </c>
      <c r="L21">
        <v>250</v>
      </c>
      <c r="M21" t="s">
        <v>8</v>
      </c>
    </row>
    <row r="22" spans="3:15" x14ac:dyDescent="0.2">
      <c r="I22" t="s">
        <v>38</v>
      </c>
      <c r="J22" t="s">
        <v>39</v>
      </c>
      <c r="K22" s="2">
        <v>4.8000000000000002E-11</v>
      </c>
      <c r="L22">
        <v>250</v>
      </c>
      <c r="M22" t="s">
        <v>8</v>
      </c>
    </row>
    <row r="23" spans="3:15" x14ac:dyDescent="0.2">
      <c r="I23" t="s">
        <v>40</v>
      </c>
      <c r="J23" t="s">
        <v>41</v>
      </c>
      <c r="K23" s="2">
        <v>4.7999999999999997E-13</v>
      </c>
      <c r="L23">
        <v>0</v>
      </c>
      <c r="M23" t="s">
        <v>8</v>
      </c>
    </row>
    <row r="24" spans="3:15" x14ac:dyDescent="0.2">
      <c r="I24" t="s">
        <v>55</v>
      </c>
      <c r="J24" t="s">
        <v>42</v>
      </c>
      <c r="K24" s="2">
        <v>2.0999999999999999E-11</v>
      </c>
      <c r="L24">
        <v>465</v>
      </c>
      <c r="M24" t="s">
        <v>8</v>
      </c>
      <c r="N24" t="s">
        <v>57</v>
      </c>
      <c r="O24" t="s">
        <v>56</v>
      </c>
    </row>
    <row r="25" spans="3:15" x14ac:dyDescent="0.2">
      <c r="I25" t="s">
        <v>53</v>
      </c>
      <c r="J25" t="s">
        <v>54</v>
      </c>
      <c r="K25" s="2">
        <v>1.6999999999999999E-11</v>
      </c>
      <c r="L25">
        <v>0</v>
      </c>
      <c r="M25" t="s">
        <v>8</v>
      </c>
      <c r="N25" t="s">
        <v>57</v>
      </c>
    </row>
    <row r="26" spans="3:15" x14ac:dyDescent="0.2">
      <c r="I26" t="s">
        <v>51</v>
      </c>
      <c r="J26" t="s">
        <v>52</v>
      </c>
      <c r="K26" s="2">
        <v>1.8999999999999999E-11</v>
      </c>
      <c r="L26">
        <v>390</v>
      </c>
      <c r="M26" t="s">
        <v>8</v>
      </c>
      <c r="N26" t="s">
        <v>58</v>
      </c>
    </row>
    <row r="29" spans="3:15" x14ac:dyDescent="0.2">
      <c r="C29">
        <f>EXP(0)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EC9E-1168-4548-9F4F-9B33A0B6452B}">
  <dimension ref="A1:H37"/>
  <sheetViews>
    <sheetView tabSelected="1" topLeftCell="A14" workbookViewId="0">
      <selection activeCell="E47" sqref="E47"/>
    </sheetView>
  </sheetViews>
  <sheetFormatPr baseColWidth="10" defaultRowHeight="16" x14ac:dyDescent="0.2"/>
  <sheetData>
    <row r="1" spans="1:7" x14ac:dyDescent="0.2">
      <c r="A1" t="s">
        <v>49</v>
      </c>
      <c r="B1" t="s">
        <v>50</v>
      </c>
      <c r="C1" t="s">
        <v>60</v>
      </c>
      <c r="D1" t="s">
        <v>61</v>
      </c>
      <c r="E1" t="s">
        <v>62</v>
      </c>
      <c r="F1" t="s">
        <v>7</v>
      </c>
      <c r="G1" t="s">
        <v>78</v>
      </c>
    </row>
    <row r="2" spans="1:7" x14ac:dyDescent="0.2">
      <c r="A2" t="s">
        <v>63</v>
      </c>
      <c r="B2" t="s">
        <v>13</v>
      </c>
      <c r="C2" s="2">
        <v>7.6599999999999995E-6</v>
      </c>
      <c r="D2">
        <v>0</v>
      </c>
      <c r="E2">
        <v>0</v>
      </c>
      <c r="F2" t="s">
        <v>8</v>
      </c>
      <c r="G2" t="s">
        <v>79</v>
      </c>
    </row>
    <row r="3" spans="1:7" x14ac:dyDescent="0.2">
      <c r="A3" t="s">
        <v>64</v>
      </c>
      <c r="B3" t="s">
        <v>10</v>
      </c>
      <c r="C3" s="2">
        <v>3.5500000000000002E-5</v>
      </c>
      <c r="D3">
        <v>0</v>
      </c>
      <c r="E3">
        <v>0</v>
      </c>
      <c r="F3" t="s">
        <v>8</v>
      </c>
      <c r="G3" t="s">
        <v>79</v>
      </c>
    </row>
    <row r="4" spans="1:7" x14ac:dyDescent="0.2">
      <c r="A4" t="s">
        <v>64</v>
      </c>
      <c r="B4" t="s">
        <v>11</v>
      </c>
      <c r="C4" s="2">
        <v>2.0799999999999999E-4</v>
      </c>
      <c r="D4">
        <v>0</v>
      </c>
      <c r="E4">
        <v>0</v>
      </c>
      <c r="F4" t="s">
        <v>8</v>
      </c>
      <c r="G4" t="s">
        <v>79</v>
      </c>
    </row>
    <row r="5" spans="1:7" x14ac:dyDescent="0.2">
      <c r="A5" t="s">
        <v>65</v>
      </c>
      <c r="B5" t="s">
        <v>66</v>
      </c>
      <c r="C5" s="2">
        <v>8.7899999999999992E-3</v>
      </c>
      <c r="D5">
        <v>0</v>
      </c>
      <c r="E5">
        <v>0</v>
      </c>
      <c r="F5" t="s">
        <v>8</v>
      </c>
      <c r="G5" t="s">
        <v>79</v>
      </c>
    </row>
    <row r="6" spans="1:7" x14ac:dyDescent="0.2">
      <c r="A6" t="s">
        <v>67</v>
      </c>
      <c r="B6" t="s">
        <v>68</v>
      </c>
      <c r="C6" s="2">
        <v>0.153</v>
      </c>
      <c r="D6">
        <v>0</v>
      </c>
      <c r="E6">
        <v>0</v>
      </c>
      <c r="F6" t="s">
        <v>8</v>
      </c>
      <c r="G6" t="s">
        <v>79</v>
      </c>
    </row>
    <row r="7" spans="1:7" x14ac:dyDescent="0.2">
      <c r="A7" t="s">
        <v>67</v>
      </c>
      <c r="B7" t="s">
        <v>69</v>
      </c>
      <c r="C7" s="2">
        <v>2.2100000000000002E-2</v>
      </c>
      <c r="D7">
        <v>0</v>
      </c>
      <c r="E7">
        <v>0</v>
      </c>
      <c r="F7" t="s">
        <v>8</v>
      </c>
      <c r="G7" t="s">
        <v>79</v>
      </c>
    </row>
    <row r="8" spans="1:7" x14ac:dyDescent="0.2">
      <c r="A8" t="s">
        <v>70</v>
      </c>
      <c r="B8" t="s">
        <v>37</v>
      </c>
      <c r="C8" s="2">
        <v>6.5600000000000005E-7</v>
      </c>
      <c r="D8">
        <v>0</v>
      </c>
      <c r="E8">
        <v>0</v>
      </c>
      <c r="F8" t="s">
        <v>8</v>
      </c>
      <c r="G8" t="s">
        <v>79</v>
      </c>
    </row>
    <row r="9" spans="1:7" x14ac:dyDescent="0.2">
      <c r="A9" t="s">
        <v>71</v>
      </c>
      <c r="B9" t="s">
        <v>72</v>
      </c>
      <c r="C9" s="2">
        <v>1.9499999999999999E-3</v>
      </c>
      <c r="D9">
        <v>0</v>
      </c>
      <c r="E9">
        <v>0</v>
      </c>
      <c r="F9" t="s">
        <v>8</v>
      </c>
      <c r="G9" t="s">
        <v>79</v>
      </c>
    </row>
    <row r="10" spans="1:7" x14ac:dyDescent="0.2">
      <c r="A10" t="s">
        <v>73</v>
      </c>
      <c r="B10" t="s">
        <v>74</v>
      </c>
      <c r="C10" s="2">
        <v>2.5400000000000001E-5</v>
      </c>
      <c r="D10">
        <v>0</v>
      </c>
      <c r="E10">
        <v>0</v>
      </c>
      <c r="F10" t="s">
        <v>8</v>
      </c>
      <c r="G10" t="s">
        <v>79</v>
      </c>
    </row>
    <row r="11" spans="1:7" x14ac:dyDescent="0.2">
      <c r="A11" t="s">
        <v>43</v>
      </c>
      <c r="B11" t="s">
        <v>44</v>
      </c>
      <c r="C11" s="2">
        <v>1.7999999999999999E-11</v>
      </c>
      <c r="D11">
        <v>0</v>
      </c>
      <c r="E11">
        <v>0</v>
      </c>
      <c r="F11" t="s">
        <v>8</v>
      </c>
      <c r="G11" t="s">
        <v>79</v>
      </c>
    </row>
    <row r="12" spans="1:7" x14ac:dyDescent="0.2">
      <c r="A12" t="s">
        <v>43</v>
      </c>
      <c r="B12" t="s">
        <v>44</v>
      </c>
      <c r="C12" s="2">
        <v>1.7999999999999999E-11</v>
      </c>
      <c r="D12">
        <v>0</v>
      </c>
      <c r="E12">
        <v>100</v>
      </c>
      <c r="F12" t="s">
        <v>8</v>
      </c>
      <c r="G12" t="s">
        <v>79</v>
      </c>
    </row>
    <row r="13" spans="1:7" x14ac:dyDescent="0.2">
      <c r="A13" t="s">
        <v>10</v>
      </c>
      <c r="B13" t="s">
        <v>11</v>
      </c>
      <c r="C13" s="2">
        <v>3.1999999999999999E-11</v>
      </c>
      <c r="D13">
        <v>0</v>
      </c>
      <c r="E13">
        <v>70</v>
      </c>
      <c r="F13" t="s">
        <v>8</v>
      </c>
      <c r="G13" t="s">
        <v>79</v>
      </c>
    </row>
    <row r="14" spans="1:7" x14ac:dyDescent="0.2">
      <c r="A14" t="s">
        <v>46</v>
      </c>
      <c r="B14" t="s">
        <v>47</v>
      </c>
      <c r="C14" s="2">
        <v>6E-34</v>
      </c>
      <c r="D14">
        <v>0</v>
      </c>
      <c r="E14">
        <v>-2.2999999999999998</v>
      </c>
      <c r="F14" t="s">
        <v>9</v>
      </c>
      <c r="G14" t="s">
        <v>79</v>
      </c>
    </row>
    <row r="15" spans="1:7" x14ac:dyDescent="0.2">
      <c r="A15" t="s">
        <v>12</v>
      </c>
      <c r="B15" t="s">
        <v>13</v>
      </c>
      <c r="C15" s="2">
        <v>2.1999999999999999E-20</v>
      </c>
      <c r="D15">
        <v>0</v>
      </c>
      <c r="E15">
        <v>0</v>
      </c>
      <c r="F15" t="s">
        <v>8</v>
      </c>
      <c r="G15" t="s">
        <v>79</v>
      </c>
    </row>
    <row r="16" spans="1:7" x14ac:dyDescent="0.2">
      <c r="A16" t="s">
        <v>14</v>
      </c>
      <c r="B16" t="s">
        <v>15</v>
      </c>
      <c r="C16" s="2">
        <v>1.6E-12</v>
      </c>
      <c r="D16">
        <v>0</v>
      </c>
      <c r="E16">
        <v>-940</v>
      </c>
      <c r="F16" t="s">
        <v>8</v>
      </c>
      <c r="G16" t="s">
        <v>79</v>
      </c>
    </row>
    <row r="17" spans="1:8" x14ac:dyDescent="0.2">
      <c r="A17" t="s">
        <v>16</v>
      </c>
      <c r="B17" t="s">
        <v>17</v>
      </c>
      <c r="C17" s="2">
        <v>1.1E-14</v>
      </c>
      <c r="D17">
        <v>0</v>
      </c>
      <c r="E17">
        <v>-500</v>
      </c>
      <c r="F17" t="s">
        <v>8</v>
      </c>
      <c r="G17" t="s">
        <v>79</v>
      </c>
    </row>
    <row r="18" spans="1:8" x14ac:dyDescent="0.2">
      <c r="A18" t="s">
        <v>18</v>
      </c>
      <c r="B18" t="s">
        <v>19</v>
      </c>
      <c r="C18" s="2">
        <v>7.5999999999999999E-12</v>
      </c>
      <c r="D18">
        <v>0</v>
      </c>
      <c r="E18">
        <v>0</v>
      </c>
      <c r="F18" t="s">
        <v>8</v>
      </c>
      <c r="G18" t="s">
        <v>79</v>
      </c>
    </row>
    <row r="19" spans="1:8" x14ac:dyDescent="0.2">
      <c r="A19" t="s">
        <v>20</v>
      </c>
      <c r="B19" t="s">
        <v>21</v>
      </c>
      <c r="C19" s="2">
        <v>2E-12</v>
      </c>
      <c r="D19">
        <v>0</v>
      </c>
      <c r="E19">
        <v>-1400</v>
      </c>
      <c r="F19" t="s">
        <v>8</v>
      </c>
      <c r="G19" t="s">
        <v>79</v>
      </c>
    </row>
    <row r="20" spans="1:8" x14ac:dyDescent="0.2">
      <c r="A20" t="s">
        <v>45</v>
      </c>
      <c r="B20" t="s">
        <v>48</v>
      </c>
      <c r="C20" s="2">
        <v>1.1999999999999999E-13</v>
      </c>
      <c r="D20">
        <v>0</v>
      </c>
      <c r="E20">
        <v>-2450</v>
      </c>
      <c r="F20" t="s">
        <v>8</v>
      </c>
      <c r="G20" t="s">
        <v>79</v>
      </c>
    </row>
    <row r="21" spans="1:8" x14ac:dyDescent="0.2">
      <c r="A21" t="s">
        <v>22</v>
      </c>
      <c r="B21" t="s">
        <v>23</v>
      </c>
      <c r="C21" s="2">
        <v>1.5E-11</v>
      </c>
      <c r="D21">
        <v>0</v>
      </c>
      <c r="E21">
        <v>170</v>
      </c>
      <c r="F21" t="s">
        <v>8</v>
      </c>
      <c r="G21" t="s">
        <v>79</v>
      </c>
    </row>
    <row r="22" spans="1:8" x14ac:dyDescent="0.2">
      <c r="A22" t="s">
        <v>24</v>
      </c>
      <c r="B22" t="s">
        <v>25</v>
      </c>
      <c r="C22" s="2">
        <v>1.2999999999999999E-12</v>
      </c>
      <c r="D22">
        <v>0</v>
      </c>
      <c r="E22">
        <v>0</v>
      </c>
      <c r="F22" t="s">
        <v>8</v>
      </c>
      <c r="G22" t="s">
        <v>79</v>
      </c>
    </row>
    <row r="23" spans="1:8" x14ac:dyDescent="0.2">
      <c r="A23" t="s">
        <v>25</v>
      </c>
      <c r="B23" t="s">
        <v>24</v>
      </c>
      <c r="C23" s="2">
        <v>6.8000000000000005E-2</v>
      </c>
      <c r="D23">
        <v>0</v>
      </c>
      <c r="E23">
        <v>-11080</v>
      </c>
      <c r="F23" t="s">
        <v>8</v>
      </c>
      <c r="G23" t="s">
        <v>79</v>
      </c>
    </row>
    <row r="24" spans="1:8" x14ac:dyDescent="0.2">
      <c r="A24" t="s">
        <v>26</v>
      </c>
      <c r="B24" t="s">
        <v>27</v>
      </c>
      <c r="C24" s="2">
        <v>9.6999999999999995E-12</v>
      </c>
      <c r="D24">
        <v>0</v>
      </c>
      <c r="E24">
        <v>0</v>
      </c>
      <c r="F24" t="s">
        <v>8</v>
      </c>
      <c r="G24" t="s">
        <v>79</v>
      </c>
    </row>
    <row r="25" spans="1:8" x14ac:dyDescent="0.2">
      <c r="A25" t="s">
        <v>28</v>
      </c>
      <c r="B25" t="s">
        <v>29</v>
      </c>
      <c r="C25" s="2">
        <v>1.5000000000000001E-12</v>
      </c>
      <c r="D25">
        <v>0</v>
      </c>
      <c r="E25">
        <v>0</v>
      </c>
      <c r="F25" t="s">
        <v>8</v>
      </c>
      <c r="G25" t="s">
        <v>79</v>
      </c>
    </row>
    <row r="26" spans="1:8" x14ac:dyDescent="0.2">
      <c r="A26" t="s">
        <v>29</v>
      </c>
      <c r="B26" t="s">
        <v>28</v>
      </c>
      <c r="C26" s="2">
        <v>7.6999999999999999E-12</v>
      </c>
      <c r="D26">
        <v>0</v>
      </c>
      <c r="E26">
        <v>-10420</v>
      </c>
      <c r="F26" t="s">
        <v>8</v>
      </c>
      <c r="G26" t="s">
        <v>79</v>
      </c>
    </row>
    <row r="27" spans="1:8" x14ac:dyDescent="0.2">
      <c r="A27" t="s">
        <v>30</v>
      </c>
      <c r="B27" t="s">
        <v>31</v>
      </c>
      <c r="C27" s="2">
        <v>1.4999999999999999E-13</v>
      </c>
      <c r="D27">
        <v>0</v>
      </c>
      <c r="E27">
        <v>0</v>
      </c>
      <c r="F27" t="s">
        <v>8</v>
      </c>
      <c r="G27" t="s">
        <v>79</v>
      </c>
    </row>
    <row r="28" spans="1:8" x14ac:dyDescent="0.2">
      <c r="A28" t="s">
        <v>32</v>
      </c>
      <c r="B28" t="s">
        <v>33</v>
      </c>
      <c r="C28">
        <v>0</v>
      </c>
      <c r="D28">
        <v>0</v>
      </c>
      <c r="E28">
        <v>0</v>
      </c>
      <c r="F28" t="s">
        <v>75</v>
      </c>
      <c r="G28" t="s">
        <v>57</v>
      </c>
    </row>
    <row r="29" spans="1:8" x14ac:dyDescent="0.2">
      <c r="A29" t="s">
        <v>34</v>
      </c>
      <c r="B29" t="s">
        <v>35</v>
      </c>
      <c r="C29" s="2">
        <v>2.9000000000000002E-12</v>
      </c>
      <c r="D29">
        <v>0</v>
      </c>
      <c r="E29">
        <v>-160</v>
      </c>
      <c r="F29" t="s">
        <v>8</v>
      </c>
      <c r="G29" t="s">
        <v>79</v>
      </c>
    </row>
    <row r="30" spans="1:8" x14ac:dyDescent="0.2">
      <c r="A30" t="s">
        <v>36</v>
      </c>
      <c r="B30" t="s">
        <v>37</v>
      </c>
      <c r="C30" s="2">
        <v>3.5E-12</v>
      </c>
      <c r="D30">
        <v>0</v>
      </c>
      <c r="E30">
        <v>250</v>
      </c>
      <c r="F30" t="s">
        <v>8</v>
      </c>
      <c r="G30" t="s">
        <v>79</v>
      </c>
    </row>
    <row r="31" spans="1:8" x14ac:dyDescent="0.2">
      <c r="A31" t="s">
        <v>38</v>
      </c>
      <c r="B31" t="s">
        <v>39</v>
      </c>
      <c r="C31" s="2">
        <v>4.8000000000000002E-11</v>
      </c>
      <c r="D31">
        <v>0</v>
      </c>
      <c r="E31">
        <v>250</v>
      </c>
      <c r="F31" t="s">
        <v>8</v>
      </c>
      <c r="G31" t="s">
        <v>79</v>
      </c>
    </row>
    <row r="32" spans="1:8" x14ac:dyDescent="0.2">
      <c r="A32" t="s">
        <v>40</v>
      </c>
      <c r="B32" t="s">
        <v>81</v>
      </c>
      <c r="C32" s="2">
        <v>110000</v>
      </c>
      <c r="D32" s="2">
        <v>1200000</v>
      </c>
      <c r="E32">
        <v>-4.0999999999999996</v>
      </c>
      <c r="F32" t="s">
        <v>80</v>
      </c>
      <c r="G32" t="s">
        <v>57</v>
      </c>
      <c r="H32" t="s">
        <v>84</v>
      </c>
    </row>
    <row r="33" spans="1:8" x14ac:dyDescent="0.2">
      <c r="A33" t="s">
        <v>82</v>
      </c>
      <c r="B33" t="s">
        <v>83</v>
      </c>
      <c r="C33" s="2">
        <v>783000</v>
      </c>
      <c r="D33">
        <v>0</v>
      </c>
      <c r="E33">
        <v>-330</v>
      </c>
      <c r="F33" t="s">
        <v>8</v>
      </c>
      <c r="G33" t="s">
        <v>57</v>
      </c>
      <c r="H33" t="s">
        <v>85</v>
      </c>
    </row>
    <row r="34" spans="1:8" x14ac:dyDescent="0.2">
      <c r="A34" t="s">
        <v>76</v>
      </c>
      <c r="B34" t="s">
        <v>77</v>
      </c>
      <c r="C34" s="2">
        <v>1.414E-5</v>
      </c>
      <c r="D34">
        <v>0</v>
      </c>
      <c r="E34">
        <v>6830</v>
      </c>
      <c r="F34" t="s">
        <v>8</v>
      </c>
      <c r="G34" t="s">
        <v>79</v>
      </c>
    </row>
    <row r="35" spans="1:8" x14ac:dyDescent="0.2">
      <c r="A35" t="s">
        <v>55</v>
      </c>
      <c r="B35" t="s">
        <v>42</v>
      </c>
      <c r="C35" s="2">
        <v>2.0999999999999999E-11</v>
      </c>
      <c r="D35">
        <v>0</v>
      </c>
      <c r="E35">
        <v>465</v>
      </c>
      <c r="F35" t="s">
        <v>8</v>
      </c>
      <c r="G35" t="s">
        <v>57</v>
      </c>
      <c r="H35" t="s">
        <v>56</v>
      </c>
    </row>
    <row r="36" spans="1:8" x14ac:dyDescent="0.2">
      <c r="A36" t="s">
        <v>53</v>
      </c>
      <c r="B36" t="s">
        <v>54</v>
      </c>
      <c r="C36" s="2">
        <v>1.6999999999999999E-11</v>
      </c>
      <c r="D36">
        <v>0</v>
      </c>
      <c r="E36">
        <v>0</v>
      </c>
      <c r="F36" t="s">
        <v>8</v>
      </c>
      <c r="G36" t="s">
        <v>57</v>
      </c>
    </row>
    <row r="37" spans="1:8" x14ac:dyDescent="0.2">
      <c r="A37" t="s">
        <v>51</v>
      </c>
      <c r="B37" t="s">
        <v>52</v>
      </c>
      <c r="C37" s="2">
        <v>1.8999999999999999E-11</v>
      </c>
      <c r="D37">
        <v>0</v>
      </c>
      <c r="E37">
        <v>390</v>
      </c>
      <c r="F37" t="s">
        <v>8</v>
      </c>
      <c r="G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Beeler, Payton</dc:creator>
  <cp:lastModifiedBy>Beeler, Payton</cp:lastModifiedBy>
  <dcterms:created xsi:type="dcterms:W3CDTF">2025-10-15T18:57:58Z</dcterms:created>
  <dcterms:modified xsi:type="dcterms:W3CDTF">2025-10-21T22:26:29Z</dcterms:modified>
</cp:coreProperties>
</file>